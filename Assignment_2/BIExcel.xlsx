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 Account\Documents\GitHub\COMP3350-Advanced-Database\Assignment_2\"/>
    </mc:Choice>
  </mc:AlternateContent>
  <xr:revisionPtr revIDLastSave="0" documentId="13_ncr:1_{0335F6CE-E9B2-479A-A557-990E5EA6C92C}" xr6:coauthVersionLast="45" xr6:coauthVersionMax="45" xr10:uidLastSave="{00000000-0000-0000-0000-000000000000}"/>
  <bookViews>
    <workbookView xWindow="-120" yWindow="-120" windowWidth="29040" windowHeight="15840" tabRatio="846" activeTab="5" xr2:uid="{AEAC46ED-389C-4395-9299-65ED2D119AC7}"/>
  </bookViews>
  <sheets>
    <sheet name="Top 10 Customers" sheetId="10" r:id="rId1"/>
    <sheet name="Lowest 10 Customers" sheetId="12" r:id="rId2"/>
    <sheet name="Most Profitable Items" sheetId="14" r:id="rId3"/>
    <sheet name="Top 10 Sales" sheetId="6" r:id="rId4"/>
    <sheet name="Lowest 10 Sales" sheetId="8" r:id="rId5"/>
    <sheet name="Sheet13" sheetId="13" r:id="rId6"/>
    <sheet name="Sheet11" sheetId="11" r:id="rId7"/>
    <sheet name="Sheet9" sheetId="9" r:id="rId8"/>
    <sheet name="Sheet7" sheetId="7" r:id="rId9"/>
    <sheet name="Sheet5" sheetId="5" r:id="rId10"/>
    <sheet name="Sheet1" sheetId="1" r:id="rId11"/>
  </sheets>
  <definedNames>
    <definedName name="ExternalData_1" localSheetId="6" hidden="1">Sheet11!$A$1:$C$11</definedName>
    <definedName name="ExternalData_1" localSheetId="5" hidden="1">Sheet13!$A$1:$B$11</definedName>
    <definedName name="ExternalData_1" localSheetId="9" hidden="1">Sheet5!$A$1:$B$11</definedName>
    <definedName name="ExternalData_1" localSheetId="8" hidden="1">Sheet7!$A$1:$B$11</definedName>
    <definedName name="ExternalData_1" localSheetId="7" hidden="1">Sheet9!$A$1:$C$11</definedName>
  </definedNames>
  <calcPr calcId="191029"/>
  <pivotCaches>
    <pivotCache cacheId="51" r:id="rId12"/>
    <pivotCache cacheId="55" r:id="rId13"/>
    <pivotCache cacheId="58" r:id="rId14"/>
    <pivotCache cacheId="61" r:id="rId15"/>
    <pivotCache cacheId="6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" i="7" l="1"/>
  <c r="A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FA9653-080B-4D85-A70A-3FDB8F838F58}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  <connection id="2" xr16:uid="{803F3EE7-BB48-4B12-9660-413BEC2801DA}" keepAlive="1" name="Query - Query2" description="Connection to the 'Query2' query in the workbook." type="5" refreshedVersion="6" background="1" saveData="1">
    <dbPr connection="Provider=Microsoft.Mashup.OleDb.1;Data Source=$Workbook$;Location=Query2;Extended Properties=&quot;&quot;" command="SELECT * FROM [Query2]"/>
  </connection>
  <connection id="3" xr16:uid="{8BE5C8D4-23CB-4B7F-A141-7C2979C4B05F}" keepAlive="1" name="Query - Query3" description="Connection to the 'Query3' query in the workbook." type="5" refreshedVersion="6" background="1" saveData="1">
    <dbPr connection="Provider=Microsoft.Mashup.OleDb.1;Data Source=$Workbook$;Location=Query3;Extended Properties=&quot;&quot;" command="SELECT * FROM [Query3]"/>
  </connection>
  <connection id="4" xr16:uid="{C1CF2E3F-DF93-4A4D-BF3B-A0F9E11B3FC6}" keepAlive="1" name="Query - Query4" description="Connection to the 'Query4' query in the workbook." type="5" refreshedVersion="6" background="1" saveData="1">
    <dbPr connection="Provider=Microsoft.Mashup.OleDb.1;Data Source=$Workbook$;Location=Query4;Extended Properties=&quot;&quot;" command="SELECT * FROM [Query4]"/>
  </connection>
  <connection id="5" xr16:uid="{6E9D629D-ABB1-49F8-9E5C-0EA0191A1F6C}" keepAlive="1" name="Query - Query5" description="Connection to the 'Query5' query in the workbook." type="5" refreshedVersion="6" background="1" saveData="1">
    <dbPr connection="Provider=Microsoft.Mashup.OleDb.1;Data Source=$Workbook$;Location=Query5;Extended Properties=&quot;&quot;" command="SELECT * FROM [Query5]"/>
  </connection>
</connections>
</file>

<file path=xl/sharedStrings.xml><?xml version="1.0" encoding="utf-8"?>
<sst xmlns="http://schemas.openxmlformats.org/spreadsheetml/2006/main" count="127" uniqueCount="53">
  <si>
    <t>Description</t>
  </si>
  <si>
    <t>Grand Total</t>
  </si>
  <si>
    <t>Row Labels</t>
  </si>
  <si>
    <t>SaleCount</t>
  </si>
  <si>
    <t>Alien officer hoodie (Black) 3XL</t>
  </si>
  <si>
    <t>Dinosaur battery-powered slippers (Green) L</t>
  </si>
  <si>
    <t>10 mm Anti static bubble wrap (Blue) 50m</t>
  </si>
  <si>
    <t>USB food flash drive - shrimp cocktail</t>
  </si>
  <si>
    <t>20 mm Double sided bubble wrap 20m</t>
  </si>
  <si>
    <t>"The Gu" red shirt XML tag t-shirt (White) 7XL</t>
  </si>
  <si>
    <t>Animal with big feet slippers (Brown) XL</t>
  </si>
  <si>
    <t>10 mm Anti static bubble wrap (Blue) 10m</t>
  </si>
  <si>
    <t>Ride on vintage American toy coupe (Black) 1/12 scale</t>
  </si>
  <si>
    <t>DBA joke mug - two types of DBAs (White)</t>
  </si>
  <si>
    <t>Sum of SaleCount</t>
  </si>
  <si>
    <t>Chocolate echidnas 250g</t>
  </si>
  <si>
    <t>White chocolate moon rocks 250g</t>
  </si>
  <si>
    <t>Chocolate frogs 250g</t>
  </si>
  <si>
    <t>Chocolate sharks 250g</t>
  </si>
  <si>
    <t>Novelty chilli chocolates 500g</t>
  </si>
  <si>
    <t>Novelty chilli chocolates 250g</t>
  </si>
  <si>
    <t>Chocolate beetles 250g</t>
  </si>
  <si>
    <t>White chocolate snow balls 250g</t>
  </si>
  <si>
    <t>"The Gu" red shirt XML tag t-shirt (Black) 4XL</t>
  </si>
  <si>
    <t>"The Gu" red shirt XML tag t-shirt (White) XS</t>
  </si>
  <si>
    <t>Top Sales</t>
  </si>
  <si>
    <t>Customer Key</t>
  </si>
  <si>
    <t>Customer</t>
  </si>
  <si>
    <t>Tailspin Toys (Vidrine, LA)</t>
  </si>
  <si>
    <t>Tailspin Toys (North Crows Nest, IN)</t>
  </si>
  <si>
    <t>Tailspin Toys (Tolna, ND)</t>
  </si>
  <si>
    <t>Wingtip Toys (Key Biscayne, FL)</t>
  </si>
  <si>
    <t>Tailspin Toys (Peeples Valley, AZ)</t>
  </si>
  <si>
    <t>Tailspin Toys (Maypearl, TX)</t>
  </si>
  <si>
    <t>Wingtip Toys (West Frostproof, FL)</t>
  </si>
  <si>
    <t>Tailspin Toys (Inguadona, MN)</t>
  </si>
  <si>
    <t>Tailspin Toys (New Baden, IL)</t>
  </si>
  <si>
    <t>Tailspin Toys (Sekiu, WA)</t>
  </si>
  <si>
    <t>Sum of Top Sales</t>
  </si>
  <si>
    <t>Least Sales</t>
  </si>
  <si>
    <t>Wingtip Toys (Cherryplain, NY)</t>
  </si>
  <si>
    <t>Tailspin Toys (Oriole Beach, FL)</t>
  </si>
  <si>
    <t>Wingtip Toys (Naches, WA)</t>
  </si>
  <si>
    <t>Wingtip Toys (Morton Grove, IL)</t>
  </si>
  <si>
    <t>Tailspin Toys (Stonefort, IL)</t>
  </si>
  <si>
    <t>Tailspin Toys (Magalia, CA)</t>
  </si>
  <si>
    <t>Tailspin Toys (Madaket, MA)</t>
  </si>
  <si>
    <t>Wingtip Toys (Morita, TX)</t>
  </si>
  <si>
    <t>Tailspin Toys (Diablock, KY)</t>
  </si>
  <si>
    <t>Tailspin Toys (Ward Ridge, FL)</t>
  </si>
  <si>
    <t>Sum of Least Sales</t>
  </si>
  <si>
    <t>Most Profitable</t>
  </si>
  <si>
    <t>Sum of Most Profitable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</si>
</sst>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 Account" refreshedDate="43953.718895949074" createdVersion="6" refreshedVersion="6" minRefreshableVersion="3" recordCount="10" xr:uid="{371468FA-D680-4C03-A6A7-34CCEAA51EF5}">
  <cacheSource type="worksheet">
    <worksheetSource name="Query2"/>
  </cacheSource>
  <cacheFields count="2">
    <cacheField name="SaleCount" numFmtId="0">
      <sharedItems containsSemiMixedTypes="0" containsString="0" containsNumber="1" containsInteger="1" minValue="1102" maxValue="1123" count="8">
        <n v="1123"/>
        <n v="1119"/>
        <n v="1117"/>
        <n v="1110"/>
        <n v="1108"/>
        <n v="1104"/>
        <n v="1103"/>
        <n v="1102"/>
      </sharedItems>
    </cacheField>
    <cacheField name="Description" numFmtId="0">
      <sharedItems count="10">
        <s v="Alien officer hoodie (Black) 3XL"/>
        <s v="Dinosaur battery-powered slippers (Green) L"/>
        <s v="10 mm Anti static bubble wrap (Blue) 50m"/>
        <s v="USB food flash drive - shrimp cocktail"/>
        <s v="20 mm Double sided bubble wrap 20m"/>
        <s v="&quot;The Gu&quot; red shirt XML tag t-shirt (White) 7XL"/>
        <s v="Animal with big feet slippers (Brown) XL"/>
        <s v="10 mm Anti static bubble wrap (Blue) 10m"/>
        <s v="Ride on vintage American toy coupe (Black) 1/12 scale"/>
        <s v="DBA joke mug - two types of DBAs (White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 Account" refreshedDate="43953.720862615737" createdVersion="6" refreshedVersion="6" minRefreshableVersion="3" recordCount="10" xr:uid="{DBB787EB-5632-4B88-A99F-671176E31D1E}">
  <cacheSource type="worksheet">
    <worksheetSource name="Query1"/>
  </cacheSource>
  <cacheFields count="2">
    <cacheField name="SaleCount" numFmtId="0">
      <sharedItems containsSemiMixedTypes="0" containsString="0" containsNumber="1" containsInteger="1" minValue="115" maxValue="562" count="9">
        <n v="115"/>
        <n v="117"/>
        <n v="126"/>
        <n v="130"/>
        <n v="134"/>
        <n v="147"/>
        <n v="150"/>
        <n v="560"/>
        <n v="562"/>
      </sharedItems>
    </cacheField>
    <cacheField name="Description" numFmtId="0">
      <sharedItems count="10">
        <s v="Chocolate echidnas 250g"/>
        <s v="White chocolate moon rocks 250g"/>
        <s v="Chocolate frogs 250g"/>
        <s v="Chocolate sharks 250g"/>
        <s v="Novelty chilli chocolates 500g"/>
        <s v="Novelty chilli chocolates 250g"/>
        <s v="Chocolate beetles 250g"/>
        <s v="White chocolate snow balls 250g"/>
        <s v="&quot;The Gu&quot; red shirt XML tag t-shirt (Black) 4XL"/>
        <s v="&quot;The Gu&quot; red shirt XML tag t-shirt (White) X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 Account" refreshedDate="43953.734316550923" createdVersion="6" refreshedVersion="6" minRefreshableVersion="3" recordCount="10" xr:uid="{D760EF0C-AD0C-483C-923F-D4318F302CDC}">
  <cacheSource type="worksheet">
    <worksheetSource name="Query3"/>
  </cacheSource>
  <cacheFields count="3">
    <cacheField name="Top Sales" numFmtId="0">
      <sharedItems containsSemiMixedTypes="0" containsString="0" containsNumber="1" containsInteger="1" minValue="432" maxValue="455"/>
    </cacheField>
    <cacheField name="Customer Key" numFmtId="0">
      <sharedItems containsSemiMixedTypes="0" containsString="0" containsNumber="1" containsInteger="1" minValue="3" maxValue="370"/>
    </cacheField>
    <cacheField name="Customer" numFmtId="0">
      <sharedItems count="10">
        <s v="Tailspin Toys (Vidrine, LA)"/>
        <s v="Tailspin Toys (North Crows Nest, IN)"/>
        <s v="Tailspin Toys (Tolna, ND)"/>
        <s v="Wingtip Toys (Key Biscayne, FL)"/>
        <s v="Tailspin Toys (Peeples Valley, AZ)"/>
        <s v="Tailspin Toys (Maypearl, TX)"/>
        <s v="Wingtip Toys (West Frostproof, FL)"/>
        <s v="Tailspin Toys (Inguadona, MN)"/>
        <s v="Tailspin Toys (New Baden, IL)"/>
        <s v="Tailspin Toys (Sekiu, WA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 Account" refreshedDate="43953.735354629629" createdVersion="6" refreshedVersion="6" minRefreshableVersion="3" recordCount="10" xr:uid="{D7573BA2-5568-4ACD-B79F-1DAF6D3DA2F2}">
  <cacheSource type="worksheet">
    <worksheetSource name="Query4"/>
  </cacheSource>
  <cacheFields count="3">
    <cacheField name="Least Sales" numFmtId="0">
      <sharedItems containsSemiMixedTypes="0" containsString="0" containsNumber="1" containsInteger="1" minValue="242" maxValue="289"/>
    </cacheField>
    <cacheField name="Customer Key" numFmtId="0">
      <sharedItems containsSemiMixedTypes="0" containsString="0" containsNumber="1" containsInteger="1" minValue="13" maxValue="378"/>
    </cacheField>
    <cacheField name="Customer" numFmtId="0">
      <sharedItems count="10">
        <s v="Wingtip Toys (Cherryplain, NY)"/>
        <s v="Tailspin Toys (Oriole Beach, FL)"/>
        <s v="Wingtip Toys (Naches, WA)"/>
        <s v="Wingtip Toys (Morton Grove, IL)"/>
        <s v="Tailspin Toys (Stonefort, IL)"/>
        <s v="Tailspin Toys (Magalia, CA)"/>
        <s v="Tailspin Toys (Madaket, MA)"/>
        <s v="Wingtip Toys (Morita, TX)"/>
        <s v="Tailspin Toys (Diablock, KY)"/>
        <s v="Tailspin Toys (Ward Ridge, FL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 Account" refreshedDate="43953.743257754628" createdVersion="6" refreshedVersion="6" minRefreshableVersion="3" recordCount="10" xr:uid="{D867D0C9-8FDE-45D3-87FA-75DF241963F9}">
  <cacheSource type="worksheet">
    <worksheetSource name="Query5"/>
  </cacheSource>
  <cacheFields count="2">
    <cacheField name="Most Profitable" numFmtId="0">
      <sharedItems containsSemiMixedTypes="0" containsString="0" containsNumber="1" containsInteger="1" minValue="1102" maxValue="1123"/>
    </cacheField>
    <cacheField name="Description" numFmtId="0">
      <sharedItems count="10">
        <s v="Alien officer hoodie (Black) 3XL"/>
        <s v="Dinosaur battery-powered slippers (Green) L"/>
        <s v="10 mm Anti static bubble wrap (Blue) 50m"/>
        <s v="USB food flash drive - shrimp cocktail"/>
        <s v="20 mm Double sided bubble wrap 20m"/>
        <s v="&quot;The Gu&quot; red shirt XML tag t-shirt (White) 7XL"/>
        <s v="Animal with big feet slippers (Brown) XL"/>
        <s v="10 mm Anti static bubble wrap (Blue) 10m"/>
        <s v="Ride on vintage American toy coupe (Black) 1/12 scale"/>
        <s v="DBA joke mug - two types of DBAs (White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</r>
  <r>
    <x v="0"/>
    <x v="1"/>
  </r>
  <r>
    <x v="1"/>
    <x v="2"/>
  </r>
  <r>
    <x v="2"/>
    <x v="3"/>
  </r>
  <r>
    <x v="3"/>
    <x v="4"/>
  </r>
  <r>
    <x v="3"/>
    <x v="5"/>
  </r>
  <r>
    <x v="4"/>
    <x v="6"/>
  </r>
  <r>
    <x v="5"/>
    <x v="7"/>
  </r>
  <r>
    <x v="6"/>
    <x v="8"/>
  </r>
  <r>
    <x v="7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</r>
  <r>
    <x v="1"/>
    <x v="1"/>
  </r>
  <r>
    <x v="1"/>
    <x v="2"/>
  </r>
  <r>
    <x v="2"/>
    <x v="3"/>
  </r>
  <r>
    <x v="3"/>
    <x v="4"/>
  </r>
  <r>
    <x v="4"/>
    <x v="5"/>
  </r>
  <r>
    <x v="5"/>
    <x v="6"/>
  </r>
  <r>
    <x v="6"/>
    <x v="7"/>
  </r>
  <r>
    <x v="7"/>
    <x v="8"/>
  </r>
  <r>
    <x v="8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455"/>
    <n v="185"/>
    <x v="0"/>
  </r>
  <r>
    <n v="443"/>
    <n v="110"/>
    <x v="1"/>
  </r>
  <r>
    <n v="443"/>
    <n v="90"/>
    <x v="2"/>
  </r>
  <r>
    <n v="441"/>
    <n v="347"/>
    <x v="3"/>
  </r>
  <r>
    <n v="437"/>
    <n v="3"/>
    <x v="4"/>
  </r>
  <r>
    <n v="436"/>
    <n v="32"/>
    <x v="5"/>
  </r>
  <r>
    <n v="436"/>
    <n v="370"/>
    <x v="6"/>
  </r>
  <r>
    <n v="434"/>
    <n v="149"/>
    <x v="7"/>
  </r>
  <r>
    <n v="433"/>
    <n v="70"/>
    <x v="8"/>
  </r>
  <r>
    <n v="432"/>
    <n v="78"/>
    <x v="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42"/>
    <n v="378"/>
    <x v="0"/>
  </r>
  <r>
    <n v="262"/>
    <n v="111"/>
    <x v="1"/>
  </r>
  <r>
    <n v="263"/>
    <n v="223"/>
    <x v="2"/>
  </r>
  <r>
    <n v="264"/>
    <n v="292"/>
    <x v="3"/>
  </r>
  <r>
    <n v="269"/>
    <n v="13"/>
    <x v="4"/>
  </r>
  <r>
    <n v="273"/>
    <n v="197"/>
    <x v="5"/>
  </r>
  <r>
    <n v="282"/>
    <n v="66"/>
    <x v="6"/>
  </r>
  <r>
    <n v="282"/>
    <n v="357"/>
    <x v="7"/>
  </r>
  <r>
    <n v="284"/>
    <n v="39"/>
    <x v="8"/>
  </r>
  <r>
    <n v="289"/>
    <n v="22"/>
    <x v="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123"/>
    <x v="0"/>
  </r>
  <r>
    <n v="1123"/>
    <x v="1"/>
  </r>
  <r>
    <n v="1119"/>
    <x v="2"/>
  </r>
  <r>
    <n v="1117"/>
    <x v="3"/>
  </r>
  <r>
    <n v="1110"/>
    <x v="4"/>
  </r>
  <r>
    <n v="1110"/>
    <x v="5"/>
  </r>
  <r>
    <n v="1108"/>
    <x v="6"/>
  </r>
  <r>
    <n v="1104"/>
    <x v="7"/>
  </r>
  <r>
    <n v="1103"/>
    <x v="8"/>
  </r>
  <r>
    <n v="1102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900C3-3998-48FE-B59D-AC16C4D64423}" name="PivotTable5" cacheId="5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3">
    <pivotField dataField="1" showAll="0"/>
    <pivotField showAll="0"/>
    <pivotField axis="axisRow" showAll="0">
      <items count="11">
        <item x="7"/>
        <item x="5"/>
        <item x="8"/>
        <item x="1"/>
        <item x="4"/>
        <item x="9"/>
        <item x="2"/>
        <item x="0"/>
        <item x="3"/>
        <item x="6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p Sal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135A2-33FC-47AB-975F-12AF158DE306}" name="PivotTable6" cacheId="6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3">
    <pivotField dataField="1" showAll="0"/>
    <pivotField showAll="0"/>
    <pivotField axis="axisRow" showAll="0">
      <items count="11">
        <item x="8"/>
        <item x="6"/>
        <item x="5"/>
        <item x="1"/>
        <item x="4"/>
        <item x="9"/>
        <item x="0"/>
        <item x="7"/>
        <item x="3"/>
        <item x="2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Least Sal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9395A-BD91-45A2-B2D1-6D38B5037A48}" name="PivotTable7" cacheId="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2">
    <pivotField dataField="1" showAll="0"/>
    <pivotField axis="axisRow" showAll="0">
      <items count="11">
        <item x="5"/>
        <item x="7"/>
        <item x="2"/>
        <item x="4"/>
        <item x="0"/>
        <item x="6"/>
        <item x="9"/>
        <item x="1"/>
        <item x="8"/>
        <item x="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ost Profitable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21641-A110-4101-ABC0-EE460D366D4D}" name="PivotTable3" cacheId="5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2">
    <pivotField dataField="1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5"/>
        <item x="7"/>
        <item x="2"/>
        <item x="4"/>
        <item x="0"/>
        <item x="6"/>
        <item x="9"/>
        <item x="1"/>
        <item x="8"/>
        <item x="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C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F7263-0B93-4E83-9AD4-6FCF303FEAB1}" name="PivotTable4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2"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11">
        <item x="8"/>
        <item x="9"/>
        <item x="6"/>
        <item x="0"/>
        <item x="2"/>
        <item x="3"/>
        <item x="5"/>
        <item x="4"/>
        <item x="1"/>
        <item x="7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Coun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4F9B4F9-ED12-4F14-8768-2A288115DDEB}" autoFormatId="16" applyNumberFormats="0" applyBorderFormats="0" applyFontFormats="0" applyPatternFormats="0" applyAlignmentFormats="0" applyWidthHeightFormats="0">
  <queryTableRefresh nextId="3">
    <queryTableFields count="2">
      <queryTableField id="1" name="Most Profitable" tableColumnId="1"/>
      <queryTableField id="2" name="Descrip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C6284E2-BAC8-46AD-BDC9-41BC6DC0478A}" autoFormatId="16" applyNumberFormats="0" applyBorderFormats="0" applyFontFormats="0" applyPatternFormats="0" applyAlignmentFormats="0" applyWidthHeightFormats="0">
  <queryTableRefresh nextId="4">
    <queryTableFields count="3">
      <queryTableField id="1" name="Least Sales" tableColumnId="1"/>
      <queryTableField id="2" name="Customer Key" tableColumnId="2"/>
      <queryTableField id="3" name="Custome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162CB61-63EA-460B-A6AF-FAAF84D918E8}" autoFormatId="16" applyNumberFormats="0" applyBorderFormats="0" applyFontFormats="0" applyPatternFormats="0" applyAlignmentFormats="0" applyWidthHeightFormats="0">
  <queryTableRefresh nextId="4">
    <queryTableFields count="3">
      <queryTableField id="1" name="Top Sales" tableColumnId="1"/>
      <queryTableField id="2" name="Customer Key" tableColumnId="2"/>
      <queryTableField id="3" name="Custome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E48E46-E22B-4DA3-A76C-828083C0B547}" autoFormatId="16" applyNumberFormats="0" applyBorderFormats="0" applyFontFormats="0" applyPatternFormats="0" applyAlignmentFormats="0" applyWidthHeightFormats="0">
  <queryTableRefresh nextId="3">
    <queryTableFields count="2">
      <queryTableField id="1" name="SaleCount" tableColumnId="1"/>
      <queryTableField id="2" name="Descript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8103BD3-E609-4BC7-A567-E24EFA5EB70F}" autoFormatId="16" applyNumberFormats="0" applyBorderFormats="0" applyFontFormats="0" applyPatternFormats="0" applyAlignmentFormats="0" applyWidthHeightFormats="0">
  <queryTableRefresh nextId="3">
    <queryTableFields count="2">
      <queryTableField id="1" name="SaleCount" tableColumnId="1"/>
      <queryTableField id="2" name="Descrip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0D5D2C-D2C4-4554-A533-AF5E525C7A5D}" name="Query5" displayName="Query5" ref="A1:B11" tableType="queryTable" totalsRowShown="0">
  <autoFilter ref="A1:B11" xr:uid="{0F81D280-2E91-47FC-A2ED-80B06740214F}"/>
  <tableColumns count="2">
    <tableColumn id="1" xr3:uid="{1889AF03-1421-4D9A-A0F1-261BF44B3781}" uniqueName="1" name="Most Profitable" queryTableFieldId="1"/>
    <tableColumn id="2" xr3:uid="{9BA7E90E-2A9E-4C91-9339-41313DBD704A}" uniqueName="2" name="Description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39012B-2B68-46A0-B8E5-AC79BD99410A}" name="Query4" displayName="Query4" ref="A1:C11" tableType="queryTable" totalsRowShown="0">
  <autoFilter ref="A1:C11" xr:uid="{34C2D49A-9F8D-4562-B8ED-269421DD052D}"/>
  <tableColumns count="3">
    <tableColumn id="1" xr3:uid="{7593C6B6-282C-407E-BED6-86244BEE16A9}" uniqueName="1" name="Least Sales" queryTableFieldId="1"/>
    <tableColumn id="2" xr3:uid="{744DC4C0-973F-4AAF-B369-CC2748ABF84F}" uniqueName="2" name="Customer Key" queryTableFieldId="2"/>
    <tableColumn id="3" xr3:uid="{3821EEA7-AAD2-428A-96B6-5784AC703338}" uniqueName="3" name="Customer" queryTableFieldId="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8F5DBE-3D64-49FF-A101-2527CD6ABEFB}" name="Query3" displayName="Query3" ref="A1:C11" tableType="queryTable" totalsRowShown="0">
  <autoFilter ref="A1:C11" xr:uid="{887B2A58-9AF9-4866-B461-D01D770D0365}"/>
  <tableColumns count="3">
    <tableColumn id="1" xr3:uid="{C8FDDE5F-0EF5-4C5F-ACA9-A18DDA1298A8}" uniqueName="1" name="Top Sales" queryTableFieldId="1"/>
    <tableColumn id="2" xr3:uid="{8FDF806C-4179-4302-8142-0B0F511EB653}" uniqueName="2" name="Customer Key" queryTableFieldId="2"/>
    <tableColumn id="3" xr3:uid="{3166422D-C034-4B6B-933F-D14D2ED20919}" uniqueName="3" name="Customer" queryTableFieldId="3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5512DC-751D-419F-A121-7E8FB6A6B68E}" name="Query1" displayName="Query1" ref="A1:B12" tableType="queryTable" totalsRowCount="1">
  <autoFilter ref="A1:B11" xr:uid="{D29C45A8-1545-4ADF-94DB-8BF0CD93DE34}"/>
  <tableColumns count="2">
    <tableColumn id="1" xr3:uid="{969D0823-BC76-4410-9EE6-D5F6271AB6D3}" uniqueName="1" name="SaleCount" totalsRowFunction="custom" queryTableFieldId="1">
      <totalsRowFormula>SUM(Query1[SaleCount])</totalsRowFormula>
    </tableColumn>
    <tableColumn id="2" xr3:uid="{DABB24B7-B628-48E8-BA98-3155AA7A44BE}" uniqueName="2" name="Description" queryTableFieldId="2" dataDxfId="4" totalsRow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EF05BC-ED17-4FC0-8653-0C8BE7A153B2}" name="Query2" displayName="Query2" ref="A1:B12" tableType="queryTable" totalsRowCount="1">
  <autoFilter ref="A1:B11" xr:uid="{673E800A-C8BE-4BA6-9FF9-ACBA77BDA155}"/>
  <tableColumns count="2">
    <tableColumn id="1" xr3:uid="{C0CA8155-BA4D-4D5C-B5E4-B0B875A7E6DC}" uniqueName="1" name="SaleCount" totalsRowFunction="custom" queryTableFieldId="1">
      <totalsRowFormula>SUM(Query2[SaleCount])</totalsRowFormula>
    </tableColumn>
    <tableColumn id="2" xr3:uid="{7D14F798-2F76-434B-99FF-7657873B3999}" uniqueName="2" name="Description" queryTableFieldId="2" dataDxfId="6" totalsRow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FDCA-A3D3-43F9-ACE1-1AA4578964DD}">
  <dimension ref="A3:B14"/>
  <sheetViews>
    <sheetView workbookViewId="0">
      <selection activeCell="C36" sqref="C36"/>
    </sheetView>
  </sheetViews>
  <sheetFormatPr defaultRowHeight="15" x14ac:dyDescent="0.25"/>
  <cols>
    <col min="1" max="1" width="33.42578125" bestFit="1" customWidth="1"/>
    <col min="2" max="2" width="16" bestFit="1" customWidth="1"/>
  </cols>
  <sheetData>
    <row r="3" spans="1:2" x14ac:dyDescent="0.25">
      <c r="A3" s="2" t="s">
        <v>2</v>
      </c>
      <c r="B3" t="s">
        <v>38</v>
      </c>
    </row>
    <row r="4" spans="1:2" x14ac:dyDescent="0.25">
      <c r="A4" s="3" t="s">
        <v>35</v>
      </c>
      <c r="B4" s="1">
        <v>434</v>
      </c>
    </row>
    <row r="5" spans="1:2" x14ac:dyDescent="0.25">
      <c r="A5" s="3" t="s">
        <v>33</v>
      </c>
      <c r="B5" s="1">
        <v>436</v>
      </c>
    </row>
    <row r="6" spans="1:2" x14ac:dyDescent="0.25">
      <c r="A6" s="3" t="s">
        <v>36</v>
      </c>
      <c r="B6" s="1">
        <v>433</v>
      </c>
    </row>
    <row r="7" spans="1:2" x14ac:dyDescent="0.25">
      <c r="A7" s="3" t="s">
        <v>29</v>
      </c>
      <c r="B7" s="1">
        <v>443</v>
      </c>
    </row>
    <row r="8" spans="1:2" x14ac:dyDescent="0.25">
      <c r="A8" s="3" t="s">
        <v>32</v>
      </c>
      <c r="B8" s="1">
        <v>437</v>
      </c>
    </row>
    <row r="9" spans="1:2" x14ac:dyDescent="0.25">
      <c r="A9" s="3" t="s">
        <v>37</v>
      </c>
      <c r="B9" s="1">
        <v>432</v>
      </c>
    </row>
    <row r="10" spans="1:2" x14ac:dyDescent="0.25">
      <c r="A10" s="3" t="s">
        <v>30</v>
      </c>
      <c r="B10" s="1">
        <v>443</v>
      </c>
    </row>
    <row r="11" spans="1:2" x14ac:dyDescent="0.25">
      <c r="A11" s="3" t="s">
        <v>28</v>
      </c>
      <c r="B11" s="1">
        <v>455</v>
      </c>
    </row>
    <row r="12" spans="1:2" x14ac:dyDescent="0.25">
      <c r="A12" s="3" t="s">
        <v>31</v>
      </c>
      <c r="B12" s="1">
        <v>441</v>
      </c>
    </row>
    <row r="13" spans="1:2" x14ac:dyDescent="0.25">
      <c r="A13" s="3" t="s">
        <v>34</v>
      </c>
      <c r="B13" s="1">
        <v>436</v>
      </c>
    </row>
    <row r="14" spans="1:2" x14ac:dyDescent="0.25">
      <c r="A14" s="3" t="s">
        <v>1</v>
      </c>
      <c r="B14" s="1">
        <v>4390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12B4-6FAF-45CC-A239-775AE49C6DAF}">
  <dimension ref="A3:B14"/>
  <sheetViews>
    <sheetView workbookViewId="0">
      <selection activeCell="F21" sqref="F21"/>
    </sheetView>
  </sheetViews>
  <sheetFormatPr defaultRowHeight="15" x14ac:dyDescent="0.25"/>
  <cols>
    <col min="1" max="1" width="29.7109375" bestFit="1" customWidth="1"/>
    <col min="2" max="2" width="17.42578125" bestFit="1" customWidth="1"/>
  </cols>
  <sheetData>
    <row r="3" spans="1:2" x14ac:dyDescent="0.25">
      <c r="A3" s="2" t="s">
        <v>2</v>
      </c>
      <c r="B3" t="s">
        <v>50</v>
      </c>
    </row>
    <row r="4" spans="1:2" x14ac:dyDescent="0.25">
      <c r="A4" s="3" t="s">
        <v>48</v>
      </c>
      <c r="B4" s="1">
        <v>284</v>
      </c>
    </row>
    <row r="5" spans="1:2" x14ac:dyDescent="0.25">
      <c r="A5" s="3" t="s">
        <v>46</v>
      </c>
      <c r="B5" s="1">
        <v>282</v>
      </c>
    </row>
    <row r="6" spans="1:2" x14ac:dyDescent="0.25">
      <c r="A6" s="3" t="s">
        <v>45</v>
      </c>
      <c r="B6" s="1">
        <v>273</v>
      </c>
    </row>
    <row r="7" spans="1:2" x14ac:dyDescent="0.25">
      <c r="A7" s="3" t="s">
        <v>41</v>
      </c>
      <c r="B7" s="1">
        <v>262</v>
      </c>
    </row>
    <row r="8" spans="1:2" x14ac:dyDescent="0.25">
      <c r="A8" s="3" t="s">
        <v>44</v>
      </c>
      <c r="B8" s="1">
        <v>269</v>
      </c>
    </row>
    <row r="9" spans="1:2" x14ac:dyDescent="0.25">
      <c r="A9" s="3" t="s">
        <v>49</v>
      </c>
      <c r="B9" s="1">
        <v>289</v>
      </c>
    </row>
    <row r="10" spans="1:2" x14ac:dyDescent="0.25">
      <c r="A10" s="3" t="s">
        <v>40</v>
      </c>
      <c r="B10" s="1">
        <v>242</v>
      </c>
    </row>
    <row r="11" spans="1:2" x14ac:dyDescent="0.25">
      <c r="A11" s="3" t="s">
        <v>47</v>
      </c>
      <c r="B11" s="1">
        <v>282</v>
      </c>
    </row>
    <row r="12" spans="1:2" x14ac:dyDescent="0.25">
      <c r="A12" s="3" t="s">
        <v>43</v>
      </c>
      <c r="B12" s="1">
        <v>264</v>
      </c>
    </row>
    <row r="13" spans="1:2" x14ac:dyDescent="0.25">
      <c r="A13" s="3" t="s">
        <v>42</v>
      </c>
      <c r="B13" s="1">
        <v>263</v>
      </c>
    </row>
    <row r="14" spans="1:2" x14ac:dyDescent="0.25">
      <c r="A14" s="3" t="s">
        <v>1</v>
      </c>
      <c r="B14" s="1">
        <v>2710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19FD-EF2F-43E6-A0B2-6E8004583E91}">
  <dimension ref="A3:B14"/>
  <sheetViews>
    <sheetView workbookViewId="0">
      <selection activeCell="D26" sqref="D26"/>
    </sheetView>
  </sheetViews>
  <sheetFormatPr defaultRowHeight="15" x14ac:dyDescent="0.25"/>
  <cols>
    <col min="1" max="1" width="49.5703125" bestFit="1" customWidth="1"/>
    <col min="2" max="2" width="21.85546875" bestFit="1" customWidth="1"/>
  </cols>
  <sheetData>
    <row r="3" spans="1:2" x14ac:dyDescent="0.25">
      <c r="A3" s="2" t="s">
        <v>2</v>
      </c>
      <c r="B3" t="s">
        <v>52</v>
      </c>
    </row>
    <row r="4" spans="1:2" x14ac:dyDescent="0.25">
      <c r="A4" s="3" t="s">
        <v>9</v>
      </c>
      <c r="B4" s="1">
        <v>1110</v>
      </c>
    </row>
    <row r="5" spans="1:2" x14ac:dyDescent="0.25">
      <c r="A5" s="3" t="s">
        <v>11</v>
      </c>
      <c r="B5" s="1">
        <v>1104</v>
      </c>
    </row>
    <row r="6" spans="1:2" x14ac:dyDescent="0.25">
      <c r="A6" s="3" t="s">
        <v>6</v>
      </c>
      <c r="B6" s="1">
        <v>1119</v>
      </c>
    </row>
    <row r="7" spans="1:2" x14ac:dyDescent="0.25">
      <c r="A7" s="3" t="s">
        <v>8</v>
      </c>
      <c r="B7" s="1">
        <v>1110</v>
      </c>
    </row>
    <row r="8" spans="1:2" x14ac:dyDescent="0.25">
      <c r="A8" s="3" t="s">
        <v>4</v>
      </c>
      <c r="B8" s="1">
        <v>1123</v>
      </c>
    </row>
    <row r="9" spans="1:2" x14ac:dyDescent="0.25">
      <c r="A9" s="3" t="s">
        <v>10</v>
      </c>
      <c r="B9" s="1">
        <v>1108</v>
      </c>
    </row>
    <row r="10" spans="1:2" x14ac:dyDescent="0.25">
      <c r="A10" s="3" t="s">
        <v>13</v>
      </c>
      <c r="B10" s="1">
        <v>1102</v>
      </c>
    </row>
    <row r="11" spans="1:2" x14ac:dyDescent="0.25">
      <c r="A11" s="3" t="s">
        <v>5</v>
      </c>
      <c r="B11" s="1">
        <v>1123</v>
      </c>
    </row>
    <row r="12" spans="1:2" x14ac:dyDescent="0.25">
      <c r="A12" s="3" t="s">
        <v>12</v>
      </c>
      <c r="B12" s="1">
        <v>1103</v>
      </c>
    </row>
    <row r="13" spans="1:2" x14ac:dyDescent="0.25">
      <c r="A13" s="3" t="s">
        <v>7</v>
      </c>
      <c r="B13" s="1">
        <v>1117</v>
      </c>
    </row>
    <row r="14" spans="1:2" x14ac:dyDescent="0.25">
      <c r="A14" s="3" t="s">
        <v>1</v>
      </c>
      <c r="B14" s="1">
        <v>11119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02ED-3D50-4205-B0D2-E4FE73296901}">
  <dimension ref="A3:B14"/>
  <sheetViews>
    <sheetView workbookViewId="0">
      <selection activeCell="G24" sqref="G24"/>
    </sheetView>
  </sheetViews>
  <sheetFormatPr defaultRowHeight="15" x14ac:dyDescent="0.25"/>
  <cols>
    <col min="1" max="1" width="49.5703125" bestFit="1" customWidth="1"/>
    <col min="2" max="2" width="16.7109375" bestFit="1" customWidth="1"/>
    <col min="3" max="9" width="5" bestFit="1" customWidth="1"/>
    <col min="10" max="10" width="11.28515625" bestFit="1" customWidth="1"/>
  </cols>
  <sheetData>
    <row r="3" spans="1:2" x14ac:dyDescent="0.25">
      <c r="A3" s="2" t="s">
        <v>2</v>
      </c>
      <c r="B3" t="s">
        <v>14</v>
      </c>
    </row>
    <row r="4" spans="1:2" x14ac:dyDescent="0.25">
      <c r="A4" s="3" t="s">
        <v>9</v>
      </c>
      <c r="B4" s="1">
        <v>1110</v>
      </c>
    </row>
    <row r="5" spans="1:2" x14ac:dyDescent="0.25">
      <c r="A5" s="3" t="s">
        <v>11</v>
      </c>
      <c r="B5" s="1">
        <v>1104</v>
      </c>
    </row>
    <row r="6" spans="1:2" x14ac:dyDescent="0.25">
      <c r="A6" s="3" t="s">
        <v>6</v>
      </c>
      <c r="B6" s="1">
        <v>1119</v>
      </c>
    </row>
    <row r="7" spans="1:2" x14ac:dyDescent="0.25">
      <c r="A7" s="3" t="s">
        <v>8</v>
      </c>
      <c r="B7" s="1">
        <v>1110</v>
      </c>
    </row>
    <row r="8" spans="1:2" x14ac:dyDescent="0.25">
      <c r="A8" s="3" t="s">
        <v>4</v>
      </c>
      <c r="B8" s="1">
        <v>1123</v>
      </c>
    </row>
    <row r="9" spans="1:2" x14ac:dyDescent="0.25">
      <c r="A9" s="3" t="s">
        <v>10</v>
      </c>
      <c r="B9" s="1">
        <v>1108</v>
      </c>
    </row>
    <row r="10" spans="1:2" x14ac:dyDescent="0.25">
      <c r="A10" s="3" t="s">
        <v>13</v>
      </c>
      <c r="B10" s="1">
        <v>1102</v>
      </c>
    </row>
    <row r="11" spans="1:2" x14ac:dyDescent="0.25">
      <c r="A11" s="3" t="s">
        <v>5</v>
      </c>
      <c r="B11" s="1">
        <v>1123</v>
      </c>
    </row>
    <row r="12" spans="1:2" x14ac:dyDescent="0.25">
      <c r="A12" s="3" t="s">
        <v>12</v>
      </c>
      <c r="B12" s="1">
        <v>1103</v>
      </c>
    </row>
    <row r="13" spans="1:2" x14ac:dyDescent="0.25">
      <c r="A13" s="3" t="s">
        <v>7</v>
      </c>
      <c r="B13" s="1">
        <v>1117</v>
      </c>
    </row>
    <row r="14" spans="1:2" x14ac:dyDescent="0.25">
      <c r="A14" s="3" t="s">
        <v>1</v>
      </c>
      <c r="B14" s="1">
        <v>11119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43F3-3BA5-421B-9F52-3CA46283DCDF}">
  <dimension ref="A3:B14"/>
  <sheetViews>
    <sheetView workbookViewId="0">
      <selection activeCell="H7" sqref="H7"/>
    </sheetView>
  </sheetViews>
  <sheetFormatPr defaultRowHeight="15" x14ac:dyDescent="0.25"/>
  <cols>
    <col min="1" max="1" width="40.7109375" bestFit="1" customWidth="1"/>
    <col min="2" max="2" width="16.7109375" bestFit="1" customWidth="1"/>
    <col min="3" max="9" width="16.28515625" bestFit="1" customWidth="1"/>
    <col min="10" max="10" width="11.28515625" bestFit="1" customWidth="1"/>
  </cols>
  <sheetData>
    <row r="3" spans="1:2" x14ac:dyDescent="0.25">
      <c r="A3" s="2" t="s">
        <v>2</v>
      </c>
      <c r="B3" t="s">
        <v>14</v>
      </c>
    </row>
    <row r="4" spans="1:2" x14ac:dyDescent="0.25">
      <c r="A4" s="3" t="s">
        <v>23</v>
      </c>
      <c r="B4" s="1">
        <v>560</v>
      </c>
    </row>
    <row r="5" spans="1:2" x14ac:dyDescent="0.25">
      <c r="A5" s="3" t="s">
        <v>24</v>
      </c>
      <c r="B5" s="1">
        <v>562</v>
      </c>
    </row>
    <row r="6" spans="1:2" x14ac:dyDescent="0.25">
      <c r="A6" s="3" t="s">
        <v>21</v>
      </c>
      <c r="B6" s="1">
        <v>147</v>
      </c>
    </row>
    <row r="7" spans="1:2" x14ac:dyDescent="0.25">
      <c r="A7" s="3" t="s">
        <v>15</v>
      </c>
      <c r="B7" s="1">
        <v>115</v>
      </c>
    </row>
    <row r="8" spans="1:2" x14ac:dyDescent="0.25">
      <c r="A8" s="3" t="s">
        <v>17</v>
      </c>
      <c r="B8" s="1">
        <v>117</v>
      </c>
    </row>
    <row r="9" spans="1:2" x14ac:dyDescent="0.25">
      <c r="A9" s="3" t="s">
        <v>18</v>
      </c>
      <c r="B9" s="1">
        <v>126</v>
      </c>
    </row>
    <row r="10" spans="1:2" x14ac:dyDescent="0.25">
      <c r="A10" s="3" t="s">
        <v>20</v>
      </c>
      <c r="B10" s="1">
        <v>134</v>
      </c>
    </row>
    <row r="11" spans="1:2" x14ac:dyDescent="0.25">
      <c r="A11" s="3" t="s">
        <v>19</v>
      </c>
      <c r="B11" s="1">
        <v>130</v>
      </c>
    </row>
    <row r="12" spans="1:2" x14ac:dyDescent="0.25">
      <c r="A12" s="3" t="s">
        <v>16</v>
      </c>
      <c r="B12" s="1">
        <v>117</v>
      </c>
    </row>
    <row r="13" spans="1:2" x14ac:dyDescent="0.25">
      <c r="A13" s="3" t="s">
        <v>22</v>
      </c>
      <c r="B13" s="1">
        <v>150</v>
      </c>
    </row>
    <row r="14" spans="1:2" x14ac:dyDescent="0.25">
      <c r="A14" s="3" t="s">
        <v>1</v>
      </c>
      <c r="B14" s="1">
        <v>2158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C6BC-3F7A-4EE0-9F6C-EBF9367CC856}">
  <dimension ref="A1:B11"/>
  <sheetViews>
    <sheetView tabSelected="1" workbookViewId="0">
      <selection sqref="A1:B1"/>
    </sheetView>
  </sheetViews>
  <sheetFormatPr defaultRowHeight="15" x14ac:dyDescent="0.25"/>
  <cols>
    <col min="1" max="1" width="17.28515625" bestFit="1" customWidth="1"/>
    <col min="2" max="2" width="49.5703125" bestFit="1" customWidth="1"/>
  </cols>
  <sheetData>
    <row r="1" spans="1:2" x14ac:dyDescent="0.25">
      <c r="A1" t="s">
        <v>51</v>
      </c>
      <c r="B1" t="s">
        <v>0</v>
      </c>
    </row>
    <row r="2" spans="1:2" x14ac:dyDescent="0.25">
      <c r="A2">
        <v>1123</v>
      </c>
      <c r="B2" s="1" t="s">
        <v>4</v>
      </c>
    </row>
    <row r="3" spans="1:2" x14ac:dyDescent="0.25">
      <c r="A3">
        <v>1123</v>
      </c>
      <c r="B3" s="1" t="s">
        <v>5</v>
      </c>
    </row>
    <row r="4" spans="1:2" x14ac:dyDescent="0.25">
      <c r="A4">
        <v>1119</v>
      </c>
      <c r="B4" s="1" t="s">
        <v>6</v>
      </c>
    </row>
    <row r="5" spans="1:2" x14ac:dyDescent="0.25">
      <c r="A5">
        <v>1117</v>
      </c>
      <c r="B5" s="1" t="s">
        <v>7</v>
      </c>
    </row>
    <row r="6" spans="1:2" x14ac:dyDescent="0.25">
      <c r="A6">
        <v>1110</v>
      </c>
      <c r="B6" s="1" t="s">
        <v>8</v>
      </c>
    </row>
    <row r="7" spans="1:2" x14ac:dyDescent="0.25">
      <c r="A7">
        <v>1110</v>
      </c>
      <c r="B7" s="1" t="s">
        <v>9</v>
      </c>
    </row>
    <row r="8" spans="1:2" x14ac:dyDescent="0.25">
      <c r="A8">
        <v>1108</v>
      </c>
      <c r="B8" s="1" t="s">
        <v>10</v>
      </c>
    </row>
    <row r="9" spans="1:2" x14ac:dyDescent="0.25">
      <c r="A9">
        <v>1104</v>
      </c>
      <c r="B9" s="1" t="s">
        <v>11</v>
      </c>
    </row>
    <row r="10" spans="1:2" x14ac:dyDescent="0.25">
      <c r="A10">
        <v>1103</v>
      </c>
      <c r="B10" s="1" t="s">
        <v>12</v>
      </c>
    </row>
    <row r="11" spans="1:2" x14ac:dyDescent="0.25">
      <c r="A11">
        <v>1102</v>
      </c>
      <c r="B1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60B2-5D6E-4744-A2CB-6F918DB041B7}">
  <dimension ref="A1:C11"/>
  <sheetViews>
    <sheetView workbookViewId="0">
      <selection activeCell="F25" sqref="F25"/>
    </sheetView>
  </sheetViews>
  <sheetFormatPr defaultRowHeight="15" x14ac:dyDescent="0.25"/>
  <cols>
    <col min="1" max="1" width="12.85546875" bestFit="1" customWidth="1"/>
    <col min="2" max="2" width="15.7109375" bestFit="1" customWidth="1"/>
    <col min="3" max="3" width="29.7109375" bestFit="1" customWidth="1"/>
  </cols>
  <sheetData>
    <row r="1" spans="1:3" x14ac:dyDescent="0.25">
      <c r="A1" t="s">
        <v>39</v>
      </c>
      <c r="B1" t="s">
        <v>26</v>
      </c>
      <c r="C1" t="s">
        <v>27</v>
      </c>
    </row>
    <row r="2" spans="1:3" x14ac:dyDescent="0.25">
      <c r="A2">
        <v>242</v>
      </c>
      <c r="B2">
        <v>378</v>
      </c>
      <c r="C2" s="1" t="s">
        <v>40</v>
      </c>
    </row>
    <row r="3" spans="1:3" x14ac:dyDescent="0.25">
      <c r="A3">
        <v>262</v>
      </c>
      <c r="B3">
        <v>111</v>
      </c>
      <c r="C3" s="1" t="s">
        <v>41</v>
      </c>
    </row>
    <row r="4" spans="1:3" x14ac:dyDescent="0.25">
      <c r="A4">
        <v>263</v>
      </c>
      <c r="B4">
        <v>223</v>
      </c>
      <c r="C4" s="1" t="s">
        <v>42</v>
      </c>
    </row>
    <row r="5" spans="1:3" x14ac:dyDescent="0.25">
      <c r="A5">
        <v>264</v>
      </c>
      <c r="B5">
        <v>292</v>
      </c>
      <c r="C5" s="1" t="s">
        <v>43</v>
      </c>
    </row>
    <row r="6" spans="1:3" x14ac:dyDescent="0.25">
      <c r="A6">
        <v>269</v>
      </c>
      <c r="B6">
        <v>13</v>
      </c>
      <c r="C6" s="1" t="s">
        <v>44</v>
      </c>
    </row>
    <row r="7" spans="1:3" x14ac:dyDescent="0.25">
      <c r="A7">
        <v>273</v>
      </c>
      <c r="B7">
        <v>197</v>
      </c>
      <c r="C7" s="1" t="s">
        <v>45</v>
      </c>
    </row>
    <row r="8" spans="1:3" x14ac:dyDescent="0.25">
      <c r="A8">
        <v>282</v>
      </c>
      <c r="B8">
        <v>66</v>
      </c>
      <c r="C8" s="1" t="s">
        <v>46</v>
      </c>
    </row>
    <row r="9" spans="1:3" x14ac:dyDescent="0.25">
      <c r="A9">
        <v>282</v>
      </c>
      <c r="B9">
        <v>357</v>
      </c>
      <c r="C9" s="1" t="s">
        <v>47</v>
      </c>
    </row>
    <row r="10" spans="1:3" x14ac:dyDescent="0.25">
      <c r="A10">
        <v>284</v>
      </c>
      <c r="B10">
        <v>39</v>
      </c>
      <c r="C10" s="1" t="s">
        <v>48</v>
      </c>
    </row>
    <row r="11" spans="1:3" x14ac:dyDescent="0.25">
      <c r="A11">
        <v>289</v>
      </c>
      <c r="B11">
        <v>22</v>
      </c>
      <c r="C1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22DB-CDCF-43E1-A1A8-B0C21B7407C5}">
  <dimension ref="A1:C11"/>
  <sheetViews>
    <sheetView workbookViewId="0">
      <selection sqref="A1:C1"/>
    </sheetView>
  </sheetViews>
  <sheetFormatPr defaultRowHeight="15" x14ac:dyDescent="0.25"/>
  <cols>
    <col min="1" max="1" width="11.5703125" bestFit="1" customWidth="1"/>
    <col min="2" max="2" width="15.7109375" bestFit="1" customWidth="1"/>
    <col min="3" max="3" width="33.425781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>
        <v>455</v>
      </c>
      <c r="B2">
        <v>185</v>
      </c>
      <c r="C2" s="1" t="s">
        <v>28</v>
      </c>
    </row>
    <row r="3" spans="1:3" x14ac:dyDescent="0.25">
      <c r="A3">
        <v>443</v>
      </c>
      <c r="B3">
        <v>110</v>
      </c>
      <c r="C3" s="1" t="s">
        <v>29</v>
      </c>
    </row>
    <row r="4" spans="1:3" x14ac:dyDescent="0.25">
      <c r="A4">
        <v>443</v>
      </c>
      <c r="B4">
        <v>90</v>
      </c>
      <c r="C4" s="1" t="s">
        <v>30</v>
      </c>
    </row>
    <row r="5" spans="1:3" x14ac:dyDescent="0.25">
      <c r="A5">
        <v>441</v>
      </c>
      <c r="B5">
        <v>347</v>
      </c>
      <c r="C5" s="1" t="s">
        <v>31</v>
      </c>
    </row>
    <row r="6" spans="1:3" x14ac:dyDescent="0.25">
      <c r="A6">
        <v>437</v>
      </c>
      <c r="B6">
        <v>3</v>
      </c>
      <c r="C6" s="1" t="s">
        <v>32</v>
      </c>
    </row>
    <row r="7" spans="1:3" x14ac:dyDescent="0.25">
      <c r="A7">
        <v>436</v>
      </c>
      <c r="B7">
        <v>32</v>
      </c>
      <c r="C7" s="1" t="s">
        <v>33</v>
      </c>
    </row>
    <row r="8" spans="1:3" x14ac:dyDescent="0.25">
      <c r="A8">
        <v>436</v>
      </c>
      <c r="B8">
        <v>370</v>
      </c>
      <c r="C8" s="1" t="s">
        <v>34</v>
      </c>
    </row>
    <row r="9" spans="1:3" x14ac:dyDescent="0.25">
      <c r="A9">
        <v>434</v>
      </c>
      <c r="B9">
        <v>149</v>
      </c>
      <c r="C9" s="1" t="s">
        <v>35</v>
      </c>
    </row>
    <row r="10" spans="1:3" x14ac:dyDescent="0.25">
      <c r="A10">
        <v>433</v>
      </c>
      <c r="B10">
        <v>70</v>
      </c>
      <c r="C10" s="1" t="s">
        <v>36</v>
      </c>
    </row>
    <row r="11" spans="1:3" x14ac:dyDescent="0.25">
      <c r="A11">
        <v>432</v>
      </c>
      <c r="B11">
        <v>78</v>
      </c>
      <c r="C11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AA07-FDB6-4E5A-AD15-237D788A168F}">
  <dimension ref="A1:B12"/>
  <sheetViews>
    <sheetView workbookViewId="0">
      <selection sqref="A1:B1"/>
    </sheetView>
  </sheetViews>
  <sheetFormatPr defaultRowHeight="15" x14ac:dyDescent="0.25"/>
  <cols>
    <col min="1" max="1" width="12.28515625" bestFit="1" customWidth="1"/>
    <col min="2" max="2" width="40.710937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>
        <v>115</v>
      </c>
      <c r="B2" s="1" t="s">
        <v>15</v>
      </c>
    </row>
    <row r="3" spans="1:2" x14ac:dyDescent="0.25">
      <c r="A3">
        <v>117</v>
      </c>
      <c r="B3" s="1" t="s">
        <v>16</v>
      </c>
    </row>
    <row r="4" spans="1:2" x14ac:dyDescent="0.25">
      <c r="A4">
        <v>117</v>
      </c>
      <c r="B4" s="1" t="s">
        <v>17</v>
      </c>
    </row>
    <row r="5" spans="1:2" x14ac:dyDescent="0.25">
      <c r="A5">
        <v>126</v>
      </c>
      <c r="B5" s="1" t="s">
        <v>18</v>
      </c>
    </row>
    <row r="6" spans="1:2" x14ac:dyDescent="0.25">
      <c r="A6">
        <v>130</v>
      </c>
      <c r="B6" s="1" t="s">
        <v>19</v>
      </c>
    </row>
    <row r="7" spans="1:2" x14ac:dyDescent="0.25">
      <c r="A7">
        <v>134</v>
      </c>
      <c r="B7" s="1" t="s">
        <v>20</v>
      </c>
    </row>
    <row r="8" spans="1:2" x14ac:dyDescent="0.25">
      <c r="A8">
        <v>147</v>
      </c>
      <c r="B8" s="1" t="s">
        <v>21</v>
      </c>
    </row>
    <row r="9" spans="1:2" x14ac:dyDescent="0.25">
      <c r="A9">
        <v>150</v>
      </c>
      <c r="B9" s="1" t="s">
        <v>22</v>
      </c>
    </row>
    <row r="10" spans="1:2" x14ac:dyDescent="0.25">
      <c r="A10">
        <v>560</v>
      </c>
      <c r="B10" s="1" t="s">
        <v>23</v>
      </c>
    </row>
    <row r="11" spans="1:2" x14ac:dyDescent="0.25">
      <c r="A11">
        <v>562</v>
      </c>
      <c r="B11" s="1" t="s">
        <v>24</v>
      </c>
    </row>
    <row r="12" spans="1:2" x14ac:dyDescent="0.25">
      <c r="A12">
        <f>SUM(Query1[SaleCount])</f>
        <v>2158</v>
      </c>
      <c r="B12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3AF6-6121-4410-87EE-04482D1F5AC7}">
  <dimension ref="A1:B12"/>
  <sheetViews>
    <sheetView workbookViewId="0">
      <selection sqref="A1:B1"/>
    </sheetView>
  </sheetViews>
  <sheetFormatPr defaultRowHeight="15" x14ac:dyDescent="0.25"/>
  <cols>
    <col min="1" max="1" width="12.28515625" bestFit="1" customWidth="1"/>
    <col min="2" max="2" width="49.570312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>
        <v>1123</v>
      </c>
      <c r="B2" s="1" t="s">
        <v>4</v>
      </c>
    </row>
    <row r="3" spans="1:2" x14ac:dyDescent="0.25">
      <c r="A3">
        <v>1123</v>
      </c>
      <c r="B3" s="1" t="s">
        <v>5</v>
      </c>
    </row>
    <row r="4" spans="1:2" x14ac:dyDescent="0.25">
      <c r="A4">
        <v>1119</v>
      </c>
      <c r="B4" s="1" t="s">
        <v>6</v>
      </c>
    </row>
    <row r="5" spans="1:2" x14ac:dyDescent="0.25">
      <c r="A5">
        <v>1117</v>
      </c>
      <c r="B5" s="1" t="s">
        <v>7</v>
      </c>
    </row>
    <row r="6" spans="1:2" x14ac:dyDescent="0.25">
      <c r="A6">
        <v>1110</v>
      </c>
      <c r="B6" s="1" t="s">
        <v>8</v>
      </c>
    </row>
    <row r="7" spans="1:2" x14ac:dyDescent="0.25">
      <c r="A7">
        <v>1110</v>
      </c>
      <c r="B7" s="1" t="s">
        <v>9</v>
      </c>
    </row>
    <row r="8" spans="1:2" x14ac:dyDescent="0.25">
      <c r="A8">
        <v>1108</v>
      </c>
      <c r="B8" s="1" t="s">
        <v>10</v>
      </c>
    </row>
    <row r="9" spans="1:2" x14ac:dyDescent="0.25">
      <c r="A9">
        <v>1104</v>
      </c>
      <c r="B9" s="1" t="s">
        <v>11</v>
      </c>
    </row>
    <row r="10" spans="1:2" x14ac:dyDescent="0.25">
      <c r="A10">
        <v>1103</v>
      </c>
      <c r="B10" s="1" t="s">
        <v>12</v>
      </c>
    </row>
    <row r="11" spans="1:2" x14ac:dyDescent="0.25">
      <c r="A11">
        <v>1102</v>
      </c>
      <c r="B11" s="1" t="s">
        <v>13</v>
      </c>
    </row>
    <row r="12" spans="1:2" x14ac:dyDescent="0.25">
      <c r="A12">
        <f>SUM(Query2[SaleCount])</f>
        <v>11119</v>
      </c>
      <c r="B12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EF73-ED1C-472F-BEFB-B1A1286BF0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465D9-B666-4406-9DDE-DCE7C9B5B2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Top 10 Customers</vt:lpstr>
      <vt:lpstr>Lowest 10 Customers</vt:lpstr>
      <vt:lpstr>Most Profitable Items</vt:lpstr>
      <vt:lpstr>Top 10 Sales</vt:lpstr>
      <vt:lpstr>Lowest 10 Sales</vt:lpstr>
      <vt:lpstr>Sheet13</vt:lpstr>
      <vt:lpstr>Sheet11</vt:lpstr>
      <vt:lpstr>Sheet9</vt:lpstr>
      <vt:lpstr>Sheet7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Account</dc:creator>
  <cp:lastModifiedBy>Work Account</cp:lastModifiedBy>
  <dcterms:created xsi:type="dcterms:W3CDTF">2020-05-02T06:46:45Z</dcterms:created>
  <dcterms:modified xsi:type="dcterms:W3CDTF">2020-05-02T07:52:41Z</dcterms:modified>
</cp:coreProperties>
</file>